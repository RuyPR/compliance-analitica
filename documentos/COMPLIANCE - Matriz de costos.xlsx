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fectivasa-my.sharepoint.com/personal/rparedesr_efectiva_com_pe/Documents/Escritorio/"/>
    </mc:Choice>
  </mc:AlternateContent>
  <xr:revisionPtr revIDLastSave="382" documentId="8_{77298AE9-34E8-457A-BB57-EC8F224A99B1}" xr6:coauthVersionLast="47" xr6:coauthVersionMax="47" xr10:uidLastSave="{2E67F5F9-D426-4722-8563-9158AFC0007A}"/>
  <bookViews>
    <workbookView xWindow="-20520" yWindow="1155" windowWidth="20640" windowHeight="11040" xr2:uid="{5801A8BC-C524-47F0-A58B-C22004D298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" i="1" l="1"/>
  <c r="D5" i="1"/>
  <c r="R5" i="1" s="1"/>
  <c r="U5" i="1" s="1"/>
  <c r="K5" i="1"/>
  <c r="P5" i="1"/>
  <c r="O5" i="1" s="1"/>
  <c r="R4" i="1"/>
  <c r="E20" i="1"/>
  <c r="E18" i="1"/>
  <c r="E17" i="1"/>
  <c r="G5" i="1" l="1"/>
  <c r="N5" i="1"/>
  <c r="D3" i="1"/>
  <c r="T11" i="1"/>
  <c r="S11" i="1"/>
  <c r="P6" i="1"/>
  <c r="N6" i="1" s="1"/>
  <c r="P10" i="1"/>
  <c r="P9" i="1"/>
  <c r="P7" i="1"/>
  <c r="P4" i="1"/>
  <c r="P8" i="1"/>
  <c r="J11" i="1"/>
  <c r="K10" i="1"/>
  <c r="K8" i="1"/>
  <c r="K7" i="1"/>
  <c r="K4" i="1"/>
  <c r="K9" i="1"/>
  <c r="I9" i="1"/>
  <c r="I11" i="1" s="1"/>
  <c r="O4" i="1" l="1"/>
  <c r="O10" i="1"/>
  <c r="O6" i="1"/>
  <c r="N8" i="1"/>
  <c r="O8" i="1"/>
  <c r="O7" i="1"/>
  <c r="N9" i="1"/>
  <c r="G4" i="1"/>
  <c r="E3" i="1"/>
  <c r="E16" i="1" s="1"/>
  <c r="D17" i="1" s="1"/>
  <c r="D6" i="1"/>
  <c r="D7" i="1" s="1"/>
  <c r="D8" i="1" s="1"/>
  <c r="N7" i="1"/>
  <c r="N4" i="1"/>
  <c r="O9" i="1"/>
  <c r="N10" i="1"/>
  <c r="R7" i="1" l="1"/>
  <c r="U7" i="1" s="1"/>
  <c r="U4" i="1"/>
  <c r="R6" i="1"/>
  <c r="D18" i="1"/>
  <c r="H17" i="1"/>
  <c r="G17" i="1"/>
  <c r="F17" i="1"/>
  <c r="G7" i="1"/>
  <c r="G6" i="1"/>
  <c r="D19" i="1" l="1"/>
  <c r="F18" i="1"/>
  <c r="H18" i="1"/>
  <c r="G18" i="1"/>
  <c r="Q6" i="1"/>
  <c r="U6" i="1"/>
  <c r="R8" i="1" l="1"/>
  <c r="D9" i="1"/>
  <c r="G8" i="1"/>
  <c r="D20" i="1"/>
  <c r="H19" i="1"/>
  <c r="G19" i="1"/>
  <c r="F19" i="1"/>
  <c r="R9" i="1" l="1"/>
  <c r="U9" i="1" s="1"/>
  <c r="D10" i="1"/>
  <c r="G9" i="1"/>
  <c r="U8" i="1"/>
  <c r="Q8" i="1"/>
  <c r="Q11" i="1" s="1"/>
  <c r="D21" i="1"/>
  <c r="G20" i="1"/>
  <c r="F20" i="1"/>
  <c r="H20" i="1"/>
  <c r="R10" i="1" l="1"/>
  <c r="U10" i="1" s="1"/>
  <c r="U11" i="1" s="1"/>
  <c r="G10" i="1"/>
  <c r="H21" i="1"/>
  <c r="G21" i="1"/>
  <c r="F21" i="1"/>
  <c r="D22" i="1"/>
  <c r="R11" i="1" l="1"/>
  <c r="H22" i="1"/>
  <c r="G22" i="1"/>
  <c r="F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Ruy Paredes Rodríguez</author>
  </authors>
  <commentList>
    <comment ref="D4" authorId="0" shapeId="0" xr:uid="{4162EDFC-3CDA-48EE-B71D-54107B916C76}">
      <text>
        <r>
          <rPr>
            <b/>
            <sz val="9"/>
            <color indexed="81"/>
            <rFont val="Tahoma"/>
            <family val="2"/>
          </rPr>
          <t>Según Efectivank (usuarios únicos mensuales): 16,000</t>
        </r>
      </text>
    </comment>
    <comment ref="D17" authorId="0" shapeId="0" xr:uid="{A9DC16F2-8ED5-4F4C-B37C-F0D5386D5EB7}">
      <text>
        <r>
          <rPr>
            <b/>
            <sz val="9"/>
            <color indexed="81"/>
            <rFont val="Tahoma"/>
            <family val="2"/>
          </rPr>
          <t>Según Efectivank (usuarios únicos mensuales)</t>
        </r>
      </text>
    </comment>
  </commentList>
</comments>
</file>

<file path=xl/sharedStrings.xml><?xml version="1.0" encoding="utf-8"?>
<sst xmlns="http://schemas.openxmlformats.org/spreadsheetml/2006/main" count="75" uniqueCount="54">
  <si>
    <t>Web Evaluación</t>
  </si>
  <si>
    <t xml:space="preserve">Yape </t>
  </si>
  <si>
    <t>Webscrapping</t>
  </si>
  <si>
    <t>API OCR DNI</t>
  </si>
  <si>
    <t>API OCR Recibos</t>
  </si>
  <si>
    <t>Comparaciones</t>
  </si>
  <si>
    <t>4, 5, 18</t>
  </si>
  <si>
    <t>1, 2</t>
  </si>
  <si>
    <t>17, 19</t>
  </si>
  <si>
    <t>% Funnel</t>
  </si>
  <si>
    <t>BAMURE</t>
  </si>
  <si>
    <t>María - Inconcert</t>
  </si>
  <si>
    <t>Módulos</t>
  </si>
  <si>
    <t>Usuario?</t>
  </si>
  <si>
    <t>Agnóstico</t>
  </si>
  <si>
    <t>Activo</t>
  </si>
  <si>
    <t>Dimensionamiento mes</t>
  </si>
  <si>
    <t>N.A.</t>
  </si>
  <si>
    <t>Latencia p99 (s)</t>
  </si>
  <si>
    <t>Latencia p50 (s)</t>
  </si>
  <si>
    <t>TPS max actual</t>
  </si>
  <si>
    <t>TPS mínimo s/dim</t>
  </si>
  <si>
    <t>Costo total ($)</t>
  </si>
  <si>
    <t xml:space="preserve">TOTALES </t>
  </si>
  <si>
    <t>Input Token</t>
  </si>
  <si>
    <t>Output Token</t>
  </si>
  <si>
    <t>Input Token %</t>
  </si>
  <si>
    <t>Output Token %</t>
  </si>
  <si>
    <t>Costo total Gemini ($)</t>
  </si>
  <si>
    <t>Costo unitario Gemini ($)</t>
  </si>
  <si>
    <t>Costo total AWS ($)</t>
  </si>
  <si>
    <t>Costo total DR ($)</t>
  </si>
  <si>
    <t>Nro</t>
  </si>
  <si>
    <t>Tokens x 1 request</t>
  </si>
  <si>
    <t>Inicio Web Evaluación</t>
  </si>
  <si>
    <t>Imágenes</t>
  </si>
  <si>
    <t>Yape</t>
  </si>
  <si>
    <t>Fin Web Evaluación</t>
  </si>
  <si>
    <t>Netezza</t>
  </si>
  <si>
    <t>Incluye</t>
  </si>
  <si>
    <t>Etapas</t>
  </si>
  <si>
    <t>A</t>
  </si>
  <si>
    <t>B</t>
  </si>
  <si>
    <t>C</t>
  </si>
  <si>
    <t>D</t>
  </si>
  <si>
    <t>E</t>
  </si>
  <si>
    <t>F</t>
  </si>
  <si>
    <t>G</t>
  </si>
  <si>
    <t>Mes 1</t>
  </si>
  <si>
    <t>Mes 2</t>
  </si>
  <si>
    <t>Mes 3</t>
  </si>
  <si>
    <t>Concurrencia max</t>
  </si>
  <si>
    <t>4, 5 , 7</t>
  </si>
  <si>
    <t>Nro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</si>
</sst>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164" fontId="2" fillId="0" borderId="1" xfId="1" applyNumberFormat="1" applyFont="1" applyBorder="1"/>
    <xf numFmtId="9" fontId="2" fillId="0" borderId="1" xfId="2" applyFont="1" applyBorder="1"/>
    <xf numFmtId="10" fontId="2" fillId="0" borderId="1" xfId="2" applyNumberFormat="1" applyFont="1" applyBorder="1"/>
    <xf numFmtId="0" fontId="2" fillId="0" borderId="1" xfId="0" applyFont="1" applyBorder="1" applyAlignment="1">
      <alignment horizontal="right"/>
    </xf>
    <xf numFmtId="9" fontId="2" fillId="0" borderId="1" xfId="0" applyNumberFormat="1" applyFont="1" applyBorder="1"/>
    <xf numFmtId="164" fontId="2" fillId="0" borderId="1" xfId="1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/>
    <xf numFmtId="2" fontId="2" fillId="0" borderId="1" xfId="0" applyNumberFormat="1" applyFont="1" applyBorder="1" applyAlignment="1">
      <alignment horizontal="right"/>
    </xf>
    <xf numFmtId="0" fontId="3" fillId="3" borderId="1" xfId="0" applyFont="1" applyFill="1" applyBorder="1"/>
    <xf numFmtId="43" fontId="2" fillId="0" borderId="1" xfId="0" applyNumberFormat="1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right"/>
    </xf>
    <xf numFmtId="2" fontId="3" fillId="4" borderId="1" xfId="0" applyNumberFormat="1" applyFont="1" applyFill="1" applyBorder="1"/>
    <xf numFmtId="164" fontId="2" fillId="0" borderId="0" xfId="1" applyNumberFormat="1" applyFont="1"/>
    <xf numFmtId="0" fontId="3" fillId="5" borderId="1" xfId="0" applyFont="1" applyFill="1" applyBorder="1"/>
    <xf numFmtId="9" fontId="2" fillId="0" borderId="0" xfId="0" applyNumberFormat="1" applyFont="1"/>
    <xf numFmtId="9" fontId="2" fillId="0" borderId="0" xfId="2" applyFont="1"/>
    <xf numFmtId="9" fontId="3" fillId="3" borderId="1" xfId="2" applyFont="1" applyFill="1" applyBorder="1"/>
    <xf numFmtId="1" fontId="2" fillId="0" borderId="1" xfId="0" applyNumberFormat="1" applyFont="1" applyBorder="1"/>
    <xf numFmtId="165" fontId="3" fillId="4" borderId="1" xfId="0" applyNumberFormat="1" applyFont="1" applyFill="1" applyBorder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AF60-3064-4380-9739-9089D4F91BE1}">
  <dimension ref="A1:U26"/>
  <sheetViews>
    <sheetView tabSelected="1" zoomScaleNormal="100" workbookViewId="0">
      <selection activeCell="B16" sqref="B16"/>
    </sheetView>
  </sheetViews>
  <sheetFormatPr baseColWidth="10" defaultRowHeight="13.8" x14ac:dyDescent="0.3"/>
  <cols>
    <col min="1" max="1" width="3.88671875" style="1" bestFit="1" customWidth="1"/>
    <col min="2" max="2" width="17.77734375" style="1" bestFit="1" customWidth="1"/>
    <col min="3" max="3" width="7.6640625" style="1" bestFit="1" customWidth="1"/>
    <col min="4" max="4" width="19.88671875" style="1" bestFit="1" customWidth="1"/>
    <col min="5" max="5" width="8" style="1" bestFit="1" customWidth="1"/>
    <col min="6" max="6" width="8.6640625" style="1" bestFit="1" customWidth="1"/>
    <col min="7" max="7" width="15.109375" style="1" bestFit="1" customWidth="1"/>
    <col min="8" max="8" width="12.21875" style="1" bestFit="1" customWidth="1"/>
    <col min="9" max="10" width="13.109375" style="1" bestFit="1" customWidth="1"/>
    <col min="11" max="11" width="15.33203125" style="1" bestFit="1" customWidth="1"/>
    <col min="12" max="12" width="10.21875" style="1" bestFit="1" customWidth="1"/>
    <col min="13" max="13" width="11.44140625" style="1" bestFit="1" customWidth="1"/>
    <col min="14" max="14" width="11.44140625" style="1" customWidth="1"/>
    <col min="15" max="15" width="13.21875" style="1" bestFit="1" customWidth="1"/>
    <col min="16" max="16" width="15.6640625" style="1" bestFit="1" customWidth="1"/>
    <col min="17" max="17" width="20.5546875" style="1" bestFit="1" customWidth="1"/>
    <col min="18" max="18" width="18.109375" style="1" bestFit="1" customWidth="1"/>
    <col min="19" max="19" width="15.88671875" style="1" bestFit="1" customWidth="1"/>
    <col min="20" max="20" width="14.6640625" style="1" bestFit="1" customWidth="1"/>
    <col min="21" max="16384" width="11.5546875" style="1"/>
  </cols>
  <sheetData>
    <row r="1" spans="1:21" x14ac:dyDescent="0.3">
      <c r="N1" s="1">
        <v>0.1</v>
      </c>
      <c r="O1" s="1">
        <v>0.4</v>
      </c>
      <c r="Q1" s="20">
        <v>1000000</v>
      </c>
    </row>
    <row r="2" spans="1:21" x14ac:dyDescent="0.3">
      <c r="A2" s="15" t="s">
        <v>32</v>
      </c>
      <c r="B2" s="15" t="s">
        <v>12</v>
      </c>
      <c r="C2" s="15" t="s">
        <v>53</v>
      </c>
      <c r="D2" s="15" t="s">
        <v>16</v>
      </c>
      <c r="E2" s="15" t="s">
        <v>9</v>
      </c>
      <c r="F2" s="15" t="s">
        <v>13</v>
      </c>
      <c r="G2" s="15" t="s">
        <v>21</v>
      </c>
      <c r="H2" s="15" t="s">
        <v>20</v>
      </c>
      <c r="I2" s="15" t="s">
        <v>19</v>
      </c>
      <c r="J2" s="15" t="s">
        <v>18</v>
      </c>
      <c r="K2" s="15" t="s">
        <v>51</v>
      </c>
      <c r="L2" s="21" t="s">
        <v>24</v>
      </c>
      <c r="M2" s="21" t="s">
        <v>25</v>
      </c>
      <c r="N2" s="21" t="s">
        <v>26</v>
      </c>
      <c r="O2" s="21" t="s">
        <v>27</v>
      </c>
      <c r="P2" s="21" t="s">
        <v>33</v>
      </c>
      <c r="Q2" s="21" t="s">
        <v>29</v>
      </c>
      <c r="R2" s="21" t="s">
        <v>28</v>
      </c>
      <c r="S2" s="15" t="s">
        <v>30</v>
      </c>
      <c r="T2" s="15" t="s">
        <v>31</v>
      </c>
      <c r="U2" s="15" t="s">
        <v>22</v>
      </c>
    </row>
    <row r="3" spans="1:21" x14ac:dyDescent="0.3">
      <c r="A3" s="2">
        <v>1</v>
      </c>
      <c r="B3" s="2" t="s">
        <v>10</v>
      </c>
      <c r="C3" s="2"/>
      <c r="D3" s="5">
        <f>24000000+4000000</f>
        <v>28000000</v>
      </c>
      <c r="E3" s="7">
        <f>D4/D3</f>
        <v>1.0714285714285714E-4</v>
      </c>
      <c r="F3" s="7" t="s">
        <v>14</v>
      </c>
      <c r="G3" s="8" t="s">
        <v>17</v>
      </c>
      <c r="H3" s="8" t="s">
        <v>17</v>
      </c>
      <c r="I3" s="8" t="s">
        <v>17</v>
      </c>
      <c r="J3" s="8" t="s">
        <v>17</v>
      </c>
      <c r="K3" s="8" t="s">
        <v>17</v>
      </c>
      <c r="L3" s="8"/>
      <c r="M3" s="8"/>
      <c r="N3" s="8" t="s">
        <v>17</v>
      </c>
      <c r="O3" s="8" t="s">
        <v>17</v>
      </c>
      <c r="P3" s="8" t="s">
        <v>17</v>
      </c>
      <c r="Q3" s="8" t="s">
        <v>17</v>
      </c>
      <c r="R3" s="8" t="s">
        <v>17</v>
      </c>
      <c r="S3" s="8"/>
      <c r="T3" s="8"/>
      <c r="U3" s="8" t="s">
        <v>17</v>
      </c>
    </row>
    <row r="4" spans="1:21" x14ac:dyDescent="0.3">
      <c r="A4" s="2">
        <v>2</v>
      </c>
      <c r="B4" s="2" t="s">
        <v>11</v>
      </c>
      <c r="C4" s="2"/>
      <c r="D4" s="5">
        <v>3000</v>
      </c>
      <c r="E4" s="9">
        <v>0.8</v>
      </c>
      <c r="F4" s="9" t="s">
        <v>15</v>
      </c>
      <c r="G4" s="13">
        <f>D4/2592000</f>
        <v>1.1574074074074073E-3</v>
      </c>
      <c r="H4" s="4"/>
      <c r="I4" s="4"/>
      <c r="J4" s="4"/>
      <c r="K4" s="5">
        <f t="shared" ref="K4:K8" si="0">H4*2592000</f>
        <v>0</v>
      </c>
      <c r="L4" s="5"/>
      <c r="M4" s="5"/>
      <c r="N4" s="6" t="e">
        <f t="shared" ref="N4:N7" si="1">L4/$P4</f>
        <v>#DIV/0!</v>
      </c>
      <c r="O4" s="6" t="e">
        <f t="shared" ref="O4:O10" si="2">M4/$P4</f>
        <v>#DIV/0!</v>
      </c>
      <c r="P4" s="5">
        <f t="shared" ref="P4:P7" si="3">L4+M4</f>
        <v>0</v>
      </c>
      <c r="Q4" s="2"/>
      <c r="R4" s="16">
        <f>Q4*D4</f>
        <v>0</v>
      </c>
      <c r="S4" s="16"/>
      <c r="T4" s="16"/>
      <c r="U4" s="14">
        <f t="shared" ref="U4:U10" si="4">T4+S4+R4</f>
        <v>0</v>
      </c>
    </row>
    <row r="5" spans="1:21" x14ac:dyDescent="0.3">
      <c r="A5" s="2">
        <v>3</v>
      </c>
      <c r="B5" s="2" t="s">
        <v>0</v>
      </c>
      <c r="C5" s="3"/>
      <c r="D5" s="10">
        <f>E4*D4</f>
        <v>2400</v>
      </c>
      <c r="E5" s="11">
        <v>0.75</v>
      </c>
      <c r="F5" s="9" t="s">
        <v>15</v>
      </c>
      <c r="G5" s="13">
        <f t="shared" ref="G5:G10" si="5">D5/2592000</f>
        <v>9.2592592592592596E-4</v>
      </c>
      <c r="H5" s="4"/>
      <c r="I5" s="4"/>
      <c r="J5" s="4"/>
      <c r="K5" s="5">
        <f t="shared" si="0"/>
        <v>0</v>
      </c>
      <c r="L5" s="5"/>
      <c r="M5" s="5"/>
      <c r="N5" s="6" t="e">
        <f t="shared" si="1"/>
        <v>#DIV/0!</v>
      </c>
      <c r="O5" s="6" t="e">
        <f t="shared" si="2"/>
        <v>#DIV/0!</v>
      </c>
      <c r="P5" s="5">
        <f t="shared" si="3"/>
        <v>0</v>
      </c>
      <c r="Q5" s="2"/>
      <c r="R5" s="16">
        <f>Q5*D5</f>
        <v>0</v>
      </c>
      <c r="S5" s="16"/>
      <c r="T5" s="16"/>
      <c r="U5" s="14">
        <f t="shared" si="4"/>
        <v>0</v>
      </c>
    </row>
    <row r="6" spans="1:21" x14ac:dyDescent="0.3">
      <c r="A6" s="2">
        <v>4</v>
      </c>
      <c r="B6" s="2" t="s">
        <v>3</v>
      </c>
      <c r="C6" s="3" t="s">
        <v>7</v>
      </c>
      <c r="D6" s="12">
        <f>D5*E5</f>
        <v>1800</v>
      </c>
      <c r="E6" s="9">
        <v>0.75</v>
      </c>
      <c r="F6" s="9" t="s">
        <v>15</v>
      </c>
      <c r="G6" s="13">
        <f t="shared" si="5"/>
        <v>6.9444444444444447E-4</v>
      </c>
      <c r="H6" s="2">
        <v>4.5</v>
      </c>
      <c r="I6" s="2">
        <v>4.9400000000000004</v>
      </c>
      <c r="J6" s="2">
        <v>8.43</v>
      </c>
      <c r="K6" s="5">
        <v>30</v>
      </c>
      <c r="L6" s="5">
        <v>7528</v>
      </c>
      <c r="M6" s="5">
        <v>556</v>
      </c>
      <c r="N6" s="6">
        <f t="shared" si="1"/>
        <v>0.93122216724393869</v>
      </c>
      <c r="O6" s="6">
        <f t="shared" si="2"/>
        <v>6.8777832756061349E-2</v>
      </c>
      <c r="P6" s="5">
        <f>L6+M6</f>
        <v>8084</v>
      </c>
      <c r="Q6" s="13">
        <f>R6/D6</f>
        <v>9.7520000000000007E-4</v>
      </c>
      <c r="R6" s="16">
        <f>(P6*D6*N6/$Q$1*$N$1+P6*D6*O6/$Q$1*$O$1)</f>
        <v>1.75536</v>
      </c>
      <c r="S6" s="16"/>
      <c r="T6" s="16"/>
      <c r="U6" s="14">
        <f t="shared" si="4"/>
        <v>1.75536</v>
      </c>
    </row>
    <row r="7" spans="1:21" x14ac:dyDescent="0.3">
      <c r="A7" s="2">
        <v>5</v>
      </c>
      <c r="B7" s="2" t="s">
        <v>2</v>
      </c>
      <c r="C7" s="3">
        <v>16</v>
      </c>
      <c r="D7" s="12">
        <f t="shared" ref="D7:D10" si="6">D6*E6</f>
        <v>1350</v>
      </c>
      <c r="E7" s="9">
        <v>1</v>
      </c>
      <c r="F7" s="7" t="s">
        <v>14</v>
      </c>
      <c r="G7" s="13">
        <f t="shared" si="5"/>
        <v>5.2083333333333333E-4</v>
      </c>
      <c r="H7" s="4"/>
      <c r="I7" s="4"/>
      <c r="J7" s="4"/>
      <c r="K7" s="5">
        <f t="shared" si="0"/>
        <v>0</v>
      </c>
      <c r="L7" s="5"/>
      <c r="M7" s="5"/>
      <c r="N7" s="6" t="e">
        <f t="shared" si="1"/>
        <v>#DIV/0!</v>
      </c>
      <c r="O7" s="6" t="e">
        <f t="shared" si="2"/>
        <v>#DIV/0!</v>
      </c>
      <c r="P7" s="5">
        <f t="shared" si="3"/>
        <v>0</v>
      </c>
      <c r="Q7" s="2"/>
      <c r="R7" s="16">
        <f>Q7*D7</f>
        <v>0</v>
      </c>
      <c r="S7" s="16"/>
      <c r="T7" s="16"/>
      <c r="U7" s="14">
        <f t="shared" si="4"/>
        <v>0</v>
      </c>
    </row>
    <row r="8" spans="1:21" x14ac:dyDescent="0.3">
      <c r="A8" s="2">
        <v>6</v>
      </c>
      <c r="B8" s="2" t="s">
        <v>4</v>
      </c>
      <c r="C8" s="3">
        <v>7</v>
      </c>
      <c r="D8" s="12">
        <f>D7*E7</f>
        <v>1350</v>
      </c>
      <c r="E8" s="9">
        <v>0.6</v>
      </c>
      <c r="F8" s="9" t="s">
        <v>15</v>
      </c>
      <c r="G8" s="13">
        <f t="shared" si="5"/>
        <v>5.2083333333333333E-4</v>
      </c>
      <c r="H8" s="4">
        <v>1</v>
      </c>
      <c r="I8" s="2">
        <v>12.6</v>
      </c>
      <c r="J8" s="2">
        <v>14.2</v>
      </c>
      <c r="K8" s="5">
        <f t="shared" si="0"/>
        <v>2592000</v>
      </c>
      <c r="L8" s="5">
        <v>12729</v>
      </c>
      <c r="M8" s="5">
        <v>929</v>
      </c>
      <c r="N8" s="6">
        <f>L8/$P8</f>
        <v>0.93198125640650165</v>
      </c>
      <c r="O8" s="6">
        <f t="shared" si="2"/>
        <v>6.8018743593498313E-2</v>
      </c>
      <c r="P8" s="5">
        <f>L8+M8</f>
        <v>13658</v>
      </c>
      <c r="Q8" s="13">
        <f>R8/D8</f>
        <v>1.6444999999999999E-3</v>
      </c>
      <c r="R8" s="16">
        <f>(P8*D8*N8/$Q$1*$N$1+P8*D8*O8/$Q$1*$O$1)</f>
        <v>2.220075</v>
      </c>
      <c r="S8" s="16"/>
      <c r="T8" s="16"/>
      <c r="U8" s="14">
        <f t="shared" si="4"/>
        <v>2.220075</v>
      </c>
    </row>
    <row r="9" spans="1:21" x14ac:dyDescent="0.3">
      <c r="A9" s="2">
        <v>7</v>
      </c>
      <c r="B9" s="2" t="s">
        <v>1</v>
      </c>
      <c r="C9" s="3" t="s">
        <v>8</v>
      </c>
      <c r="D9" s="12">
        <f t="shared" si="6"/>
        <v>810</v>
      </c>
      <c r="E9" s="9">
        <v>0.5</v>
      </c>
      <c r="F9" s="9" t="s">
        <v>15</v>
      </c>
      <c r="G9" s="13">
        <f t="shared" si="5"/>
        <v>3.1250000000000001E-4</v>
      </c>
      <c r="H9" s="2">
        <v>57</v>
      </c>
      <c r="I9" s="14">
        <f>125/60</f>
        <v>2.0833333333333335</v>
      </c>
      <c r="J9" s="2">
        <v>2.2000000000000002</v>
      </c>
      <c r="K9" s="5">
        <f>H9*2592000</f>
        <v>147744000</v>
      </c>
      <c r="L9" s="5"/>
      <c r="M9" s="5"/>
      <c r="N9" s="6" t="e">
        <f t="shared" ref="N9:N10" si="7">L9/$P9</f>
        <v>#DIV/0!</v>
      </c>
      <c r="O9" s="6" t="e">
        <f t="shared" si="2"/>
        <v>#DIV/0!</v>
      </c>
      <c r="P9" s="5">
        <f t="shared" ref="P9:P10" si="8">L9+M9</f>
        <v>0</v>
      </c>
      <c r="Q9" s="2"/>
      <c r="R9" s="16">
        <f>Q9*D9</f>
        <v>0</v>
      </c>
      <c r="S9" s="16"/>
      <c r="T9" s="16"/>
      <c r="U9" s="14">
        <f t="shared" si="4"/>
        <v>0</v>
      </c>
    </row>
    <row r="10" spans="1:21" x14ac:dyDescent="0.3">
      <c r="A10" s="2">
        <v>8</v>
      </c>
      <c r="B10" s="2" t="s">
        <v>5</v>
      </c>
      <c r="C10" s="3" t="s">
        <v>6</v>
      </c>
      <c r="D10" s="12">
        <f t="shared" si="6"/>
        <v>405</v>
      </c>
      <c r="E10" s="9">
        <v>1</v>
      </c>
      <c r="F10" s="7" t="s">
        <v>14</v>
      </c>
      <c r="G10" s="13">
        <f t="shared" si="5"/>
        <v>1.5625E-4</v>
      </c>
      <c r="H10" s="4"/>
      <c r="I10" s="4"/>
      <c r="J10" s="4"/>
      <c r="K10" s="5">
        <f t="shared" ref="K10" si="9">H10*2592000</f>
        <v>0</v>
      </c>
      <c r="L10" s="5"/>
      <c r="M10" s="5"/>
      <c r="N10" s="6" t="e">
        <f t="shared" si="7"/>
        <v>#DIV/0!</v>
      </c>
      <c r="O10" s="6" t="e">
        <f t="shared" si="2"/>
        <v>#DIV/0!</v>
      </c>
      <c r="P10" s="5">
        <f t="shared" si="8"/>
        <v>0</v>
      </c>
      <c r="Q10" s="2"/>
      <c r="R10" s="16">
        <f>Q10*D10</f>
        <v>0</v>
      </c>
      <c r="S10" s="16"/>
      <c r="T10" s="16"/>
      <c r="U10" s="14">
        <f t="shared" si="4"/>
        <v>0</v>
      </c>
    </row>
    <row r="11" spans="1:21" x14ac:dyDescent="0.3">
      <c r="H11" s="18" t="s">
        <v>23</v>
      </c>
      <c r="I11" s="19">
        <f>SUM(I3:I10)</f>
        <v>19.623333333333331</v>
      </c>
      <c r="J11" s="19">
        <f>SUM(J3:J10)</f>
        <v>24.83</v>
      </c>
      <c r="K11" s="17">
        <v>30</v>
      </c>
      <c r="L11" s="17"/>
      <c r="M11" s="17"/>
      <c r="N11" s="17"/>
      <c r="O11" s="17"/>
      <c r="P11" s="17"/>
      <c r="Q11" s="26">
        <f>SUM(Q3:Q10)</f>
        <v>2.6197E-3</v>
      </c>
      <c r="R11" s="19">
        <f>SUM(R3:R10)</f>
        <v>3.9754350000000001</v>
      </c>
      <c r="S11" s="19">
        <f>SUM(S3:S10)</f>
        <v>0</v>
      </c>
      <c r="T11" s="19">
        <f>SUM(T3:T10)</f>
        <v>0</v>
      </c>
      <c r="U11" s="19">
        <f>SUM(U3:U10)</f>
        <v>3.9754350000000001</v>
      </c>
    </row>
    <row r="13" spans="1:21" x14ac:dyDescent="0.3">
      <c r="F13" s="23"/>
      <c r="G13" s="23"/>
      <c r="H13" s="23"/>
    </row>
    <row r="14" spans="1:21" x14ac:dyDescent="0.3">
      <c r="F14" s="24">
        <v>0.2</v>
      </c>
      <c r="G14" s="24">
        <v>0.35</v>
      </c>
      <c r="H14" s="24">
        <v>0.45</v>
      </c>
    </row>
    <row r="15" spans="1:21" ht="15.6" customHeight="1" x14ac:dyDescent="0.3">
      <c r="A15" s="15" t="s">
        <v>32</v>
      </c>
      <c r="B15" s="15" t="s">
        <v>40</v>
      </c>
      <c r="C15" s="15" t="s">
        <v>39</v>
      </c>
      <c r="D15" s="15" t="s">
        <v>16</v>
      </c>
      <c r="E15" s="15" t="s">
        <v>9</v>
      </c>
      <c r="F15" s="15" t="s">
        <v>48</v>
      </c>
      <c r="G15" s="15" t="s">
        <v>49</v>
      </c>
      <c r="H15" s="15" t="s">
        <v>50</v>
      </c>
    </row>
    <row r="16" spans="1:21" x14ac:dyDescent="0.3">
      <c r="A16" s="3" t="s">
        <v>41</v>
      </c>
      <c r="B16" s="2" t="s">
        <v>10</v>
      </c>
      <c r="C16" s="3">
        <v>1</v>
      </c>
      <c r="D16" s="5">
        <v>28000000</v>
      </c>
      <c r="E16" s="7">
        <f>E3</f>
        <v>1.0714285714285714E-4</v>
      </c>
      <c r="F16" s="9"/>
      <c r="G16" s="9"/>
      <c r="H16" s="9"/>
    </row>
    <row r="17" spans="1:8" ht="15.6" customHeight="1" x14ac:dyDescent="0.3">
      <c r="A17" s="3" t="s">
        <v>42</v>
      </c>
      <c r="B17" s="2" t="s">
        <v>11</v>
      </c>
      <c r="C17" s="3">
        <v>2</v>
      </c>
      <c r="D17" s="5">
        <f>E16*D16</f>
        <v>3000</v>
      </c>
      <c r="E17" s="6">
        <f>E4</f>
        <v>0.8</v>
      </c>
      <c r="F17" s="25">
        <f>$D17*F$14</f>
        <v>600</v>
      </c>
      <c r="G17" s="25">
        <f t="shared" ref="G17:H22" si="10">$D17*G$14</f>
        <v>1050</v>
      </c>
      <c r="H17" s="25">
        <f t="shared" si="10"/>
        <v>1350</v>
      </c>
    </row>
    <row r="18" spans="1:8" x14ac:dyDescent="0.3">
      <c r="A18" s="3" t="s">
        <v>43</v>
      </c>
      <c r="B18" s="2" t="s">
        <v>34</v>
      </c>
      <c r="C18" s="3">
        <v>3</v>
      </c>
      <c r="D18" s="10">
        <f>E17*D17</f>
        <v>2400</v>
      </c>
      <c r="E18" s="6">
        <f>E5</f>
        <v>0.75</v>
      </c>
      <c r="F18" s="25">
        <f t="shared" ref="F18:F22" si="11">$D18*F$14</f>
        <v>480</v>
      </c>
      <c r="G18" s="25">
        <f t="shared" si="10"/>
        <v>840</v>
      </c>
      <c r="H18" s="25">
        <f t="shared" si="10"/>
        <v>1080</v>
      </c>
    </row>
    <row r="19" spans="1:8" x14ac:dyDescent="0.3">
      <c r="A19" s="3" t="s">
        <v>44</v>
      </c>
      <c r="B19" s="2" t="s">
        <v>35</v>
      </c>
      <c r="C19" s="3" t="s">
        <v>52</v>
      </c>
      <c r="D19" s="12">
        <f>D18*E18</f>
        <v>1800</v>
      </c>
      <c r="E19" s="9">
        <f>E6*E7*E8</f>
        <v>0.44999999999999996</v>
      </c>
      <c r="F19" s="25">
        <f t="shared" si="11"/>
        <v>360</v>
      </c>
      <c r="G19" s="25">
        <f t="shared" si="10"/>
        <v>630</v>
      </c>
      <c r="H19" s="25">
        <f t="shared" si="10"/>
        <v>810</v>
      </c>
    </row>
    <row r="20" spans="1:8" x14ac:dyDescent="0.3">
      <c r="A20" s="3" t="s">
        <v>45</v>
      </c>
      <c r="B20" s="2" t="s">
        <v>36</v>
      </c>
      <c r="C20" s="3">
        <v>8</v>
      </c>
      <c r="D20" s="12">
        <f t="shared" ref="D20:D22" si="12">D19*E19</f>
        <v>809.99999999999989</v>
      </c>
      <c r="E20" s="9">
        <f>E9</f>
        <v>0.5</v>
      </c>
      <c r="F20" s="25">
        <f t="shared" si="11"/>
        <v>162</v>
      </c>
      <c r="G20" s="25">
        <f t="shared" si="10"/>
        <v>283.49999999999994</v>
      </c>
      <c r="H20" s="25">
        <f t="shared" si="10"/>
        <v>364.49999999999994</v>
      </c>
    </row>
    <row r="21" spans="1:8" x14ac:dyDescent="0.3">
      <c r="A21" s="3" t="s">
        <v>46</v>
      </c>
      <c r="B21" s="2" t="s">
        <v>37</v>
      </c>
      <c r="C21" s="3"/>
      <c r="D21" s="12">
        <f t="shared" si="12"/>
        <v>404.99999999999994</v>
      </c>
      <c r="E21" s="9">
        <v>1</v>
      </c>
      <c r="F21" s="25">
        <f t="shared" si="11"/>
        <v>81</v>
      </c>
      <c r="G21" s="25">
        <f t="shared" si="10"/>
        <v>141.74999999999997</v>
      </c>
      <c r="H21" s="25">
        <f t="shared" si="10"/>
        <v>182.24999999999997</v>
      </c>
    </row>
    <row r="22" spans="1:8" x14ac:dyDescent="0.3">
      <c r="A22" s="3" t="s">
        <v>47</v>
      </c>
      <c r="B22" s="2" t="s">
        <v>38</v>
      </c>
      <c r="C22" s="3"/>
      <c r="D22" s="12">
        <f t="shared" si="12"/>
        <v>404.99999999999994</v>
      </c>
      <c r="E22" s="9"/>
      <c r="F22" s="25">
        <f t="shared" si="11"/>
        <v>81</v>
      </c>
      <c r="G22" s="25">
        <f t="shared" si="10"/>
        <v>141.74999999999997</v>
      </c>
      <c r="H22" s="25">
        <f t="shared" si="10"/>
        <v>182.24999999999997</v>
      </c>
    </row>
    <row r="24" spans="1:8" x14ac:dyDescent="0.3">
      <c r="C24" s="22"/>
    </row>
    <row r="25" spans="1:8" x14ac:dyDescent="0.3">
      <c r="C25" s="22"/>
    </row>
    <row r="26" spans="1:8" x14ac:dyDescent="0.3">
      <c r="C26" s="22"/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610c37a0-47cd-4531-9f35-efb5fd32a410}" enabled="0" method="" siteId="{610c37a0-47cd-4531-9f35-efb5fd32a4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 Eduardo Paredes Rodriguez</dc:creator>
  <cp:lastModifiedBy>Ruy Eduardo Paredes Rodriguez</cp:lastModifiedBy>
  <dcterms:created xsi:type="dcterms:W3CDTF">2026-05-04T20:04:32Z</dcterms:created>
  <dcterms:modified xsi:type="dcterms:W3CDTF">2026-06-01T21:40:21Z</dcterms:modified>
</cp:coreProperties>
</file>